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265" documentId="11_0B1D56BE9CDCCE836B02CE7A5FB0D4A9BBFD1C62" xr6:coauthVersionLast="47" xr6:coauthVersionMax="47" xr10:uidLastSave="{19014D77-BB82-4D97-9794-A56398E8A39F}"/>
  <bookViews>
    <workbookView xWindow="240" yWindow="105" windowWidth="14805" windowHeight="8010" xr2:uid="{00000000-000D-0000-FFFF-FFFF00000000}"/>
  </bookViews>
  <sheets>
    <sheet name="wave 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D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6" i="1"/>
  <c r="C3" i="1"/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" i="1"/>
</calcChain>
</file>

<file path=xl/sharedStrings.xml><?xml version="1.0" encoding="utf-8"?>
<sst xmlns="http://schemas.openxmlformats.org/spreadsheetml/2006/main" count="10" uniqueCount="10">
  <si>
    <t>N</t>
  </si>
  <si>
    <t>center</t>
  </si>
  <si>
    <t>Duty Cycle</t>
  </si>
  <si>
    <t>i</t>
  </si>
  <si>
    <t>x</t>
  </si>
  <si>
    <t>y1</t>
  </si>
  <si>
    <t>y2</t>
  </si>
  <si>
    <t>y3</t>
  </si>
  <si>
    <t>y4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</si>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</sst>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Calibrated sinc wave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yVal>
            <c:numRef>
              <c:f>'wave comparison'!$D$6:$D$70</c:f>
              <c:numCache>
                <c:formatCode>General</c:formatCode>
                <c:ptCount val="65"/>
                <c:pt idx="0">
                  <c:v>1.7232083788802831E-2</c:v>
                </c:pt>
                <c:pt idx="1">
                  <c:v>-1.3033472429776292E-2</c:v>
                </c:pt>
                <c:pt idx="2">
                  <c:v>-3.2934387469762058E-2</c:v>
                </c:pt>
                <c:pt idx="3">
                  <c:v>-2.2883927041826468E-2</c:v>
                </c:pt>
                <c:pt idx="4">
                  <c:v>9.675206725281037E-3</c:v>
                </c:pt>
                <c:pt idx="5">
                  <c:v>3.542133068164826E-2</c:v>
                </c:pt>
                <c:pt idx="6">
                  <c:v>2.9329171172292411E-2</c:v>
                </c:pt>
                <c:pt idx="7">
                  <c:v>-5.2940700039109216E-3</c:v>
                </c:pt>
                <c:pt idx="8">
                  <c:v>-3.7732431750275998E-2</c:v>
                </c:pt>
                <c:pt idx="9">
                  <c:v>-3.6792191485876986E-2</c:v>
                </c:pt>
                <c:pt idx="10">
                  <c:v>-4.0233224047290345E-4</c:v>
                </c:pt>
                <c:pt idx="11">
                  <c:v>3.9840744692193147E-2</c:v>
                </c:pt>
                <c:pt idx="12">
                  <c:v>4.5647262536381385E-2</c:v>
                </c:pt>
                <c:pt idx="13">
                  <c:v>7.8882741927869659E-3</c:v>
                </c:pt>
                <c:pt idx="14">
                  <c:v>-4.1721513709537555E-2</c:v>
                </c:pt>
                <c:pt idx="15">
                  <c:v>-5.6552793639973932E-2</c:v>
                </c:pt>
                <c:pt idx="16">
                  <c:v>-1.7993957291566581E-2</c:v>
                </c:pt>
                <c:pt idx="17">
                  <c:v>4.3352522677141118E-2</c:v>
                </c:pt>
                <c:pt idx="18">
                  <c:v>7.0757668263919313E-2</c:v>
                </c:pt>
                <c:pt idx="19">
                  <c:v>3.2320541294356991E-2</c:v>
                </c:pt>
                <c:pt idx="20">
                  <c:v>-4.4714409833369578E-2</c:v>
                </c:pt>
                <c:pt idx="21">
                  <c:v>-9.0908200595518504E-2</c:v>
                </c:pt>
                <c:pt idx="22">
                  <c:v>-5.4402111088936979E-2</c:v>
                </c:pt>
                <c:pt idx="23">
                  <c:v>4.579094280463962E-2</c:v>
                </c:pt>
                <c:pt idx="24">
                  <c:v>0.12366978082792272</c:v>
                </c:pt>
                <c:pt idx="25">
                  <c:v>9.3855228388398437E-2</c:v>
                </c:pt>
                <c:pt idx="26">
                  <c:v>-4.6569249699820979E-2</c:v>
                </c:pt>
                <c:pt idx="27">
                  <c:v>-0.1917848549326277</c:v>
                </c:pt>
                <c:pt idx="28">
                  <c:v>-0.18920062382698205</c:v>
                </c:pt>
                <c:pt idx="29">
                  <c:v>4.7040002686622402E-2</c:v>
                </c:pt>
                <c:pt idx="30">
                  <c:v>0.45464871341284085</c:v>
                </c:pt>
                <c:pt idx="31">
                  <c:v>0.8414709848078965</c:v>
                </c:pt>
                <c:pt idx="32">
                  <c:v>1</c:v>
                </c:pt>
                <c:pt idx="33">
                  <c:v>0.8414709848078965</c:v>
                </c:pt>
                <c:pt idx="34">
                  <c:v>0.45464871341284085</c:v>
                </c:pt>
                <c:pt idx="35">
                  <c:v>4.7040002686622402E-2</c:v>
                </c:pt>
                <c:pt idx="36">
                  <c:v>-0.18920062382698205</c:v>
                </c:pt>
                <c:pt idx="37">
                  <c:v>-0.1917848549326277</c:v>
                </c:pt>
                <c:pt idx="38">
                  <c:v>-4.6569249699820979E-2</c:v>
                </c:pt>
                <c:pt idx="39">
                  <c:v>9.3855228388398437E-2</c:v>
                </c:pt>
                <c:pt idx="40">
                  <c:v>0.12366978082792272</c:v>
                </c:pt>
                <c:pt idx="41">
                  <c:v>4.579094280463962E-2</c:v>
                </c:pt>
                <c:pt idx="42">
                  <c:v>-5.4402111088936979E-2</c:v>
                </c:pt>
                <c:pt idx="43">
                  <c:v>-9.0908200595518504E-2</c:v>
                </c:pt>
                <c:pt idx="44">
                  <c:v>-4.4714409833369578E-2</c:v>
                </c:pt>
                <c:pt idx="45">
                  <c:v>3.2320541294356991E-2</c:v>
                </c:pt>
                <c:pt idx="46">
                  <c:v>7.0757668263919313E-2</c:v>
                </c:pt>
                <c:pt idx="47">
                  <c:v>4.3352522677141118E-2</c:v>
                </c:pt>
                <c:pt idx="48">
                  <c:v>-1.7993957291566581E-2</c:v>
                </c:pt>
                <c:pt idx="49">
                  <c:v>-5.6552793639973932E-2</c:v>
                </c:pt>
                <c:pt idx="50">
                  <c:v>-4.1721513709537555E-2</c:v>
                </c:pt>
                <c:pt idx="51">
                  <c:v>7.8882741927869659E-3</c:v>
                </c:pt>
                <c:pt idx="52">
                  <c:v>4.5647262536381385E-2</c:v>
                </c:pt>
                <c:pt idx="53">
                  <c:v>3.9840744692193147E-2</c:v>
                </c:pt>
                <c:pt idx="54">
                  <c:v>-4.0233224047290345E-4</c:v>
                </c:pt>
                <c:pt idx="55">
                  <c:v>-3.6792191485876986E-2</c:v>
                </c:pt>
                <c:pt idx="56">
                  <c:v>-3.7732431750275998E-2</c:v>
                </c:pt>
                <c:pt idx="57">
                  <c:v>-5.2940700039109216E-3</c:v>
                </c:pt>
                <c:pt idx="58">
                  <c:v>2.9329171172292411E-2</c:v>
                </c:pt>
                <c:pt idx="59">
                  <c:v>3.542133068164826E-2</c:v>
                </c:pt>
                <c:pt idx="60">
                  <c:v>9.675206725281037E-3</c:v>
                </c:pt>
                <c:pt idx="61">
                  <c:v>-2.2883927041826468E-2</c:v>
                </c:pt>
                <c:pt idx="62">
                  <c:v>-3.2934387469762058E-2</c:v>
                </c:pt>
                <c:pt idx="63">
                  <c:v>-1.3033472429776292E-2</c:v>
                </c:pt>
                <c:pt idx="64">
                  <c:v>1.7232083788802831E-2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C0-41C5-BD1C-F33D25CD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83432"/>
        <c:axId val="116585480"/>
      </c:scatterChart>
      <c:valAx>
        <c:axId val="11658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5480"/>
        <c:crosses val="autoZero"/>
        <c:crossBetween val="midCat"/>
      </c:valAx>
      <c:valAx>
        <c:axId val="11658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3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Uncalibrated sinc wave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yVal>
            <c:numRef>
              <c:f>'wave comparison'!$C$6:$C$70</c:f>
              <c:numCache>
                <c:formatCode>General</c:formatCode>
                <c:ptCount val="65"/>
                <c:pt idx="0">
                  <c:v>38</c:v>
                </c:pt>
                <c:pt idx="1">
                  <c:v>37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56</c:v>
                </c:pt>
                <c:pt idx="6">
                  <c:v>52</c:v>
                </c:pt>
                <c:pt idx="7">
                  <c:v>45</c:v>
                </c:pt>
                <c:pt idx="8">
                  <c:v>37</c:v>
                </c:pt>
                <c:pt idx="9">
                  <c:v>34</c:v>
                </c:pt>
                <c:pt idx="10">
                  <c:v>37</c:v>
                </c:pt>
                <c:pt idx="11">
                  <c:v>45</c:v>
                </c:pt>
                <c:pt idx="12">
                  <c:v>55</c:v>
                </c:pt>
                <c:pt idx="13">
                  <c:v>61</c:v>
                </c:pt>
                <c:pt idx="14">
                  <c:v>58</c:v>
                </c:pt>
                <c:pt idx="15">
                  <c:v>49</c:v>
                </c:pt>
                <c:pt idx="16">
                  <c:v>37</c:v>
                </c:pt>
                <c:pt idx="17">
                  <c:v>28</c:v>
                </c:pt>
                <c:pt idx="18">
                  <c:v>28</c:v>
                </c:pt>
                <c:pt idx="19">
                  <c:v>39</c:v>
                </c:pt>
                <c:pt idx="20">
                  <c:v>56</c:v>
                </c:pt>
                <c:pt idx="21">
                  <c:v>69</c:v>
                </c:pt>
                <c:pt idx="22">
                  <c:v>72</c:v>
                </c:pt>
                <c:pt idx="23">
                  <c:v>60</c:v>
                </c:pt>
                <c:pt idx="24">
                  <c:v>36</c:v>
                </c:pt>
                <c:pt idx="25">
                  <c:v>12</c:v>
                </c:pt>
                <c:pt idx="26">
                  <c:v>1</c:v>
                </c:pt>
                <c:pt idx="27">
                  <c:v>14</c:v>
                </c:pt>
                <c:pt idx="28">
                  <c:v>56</c:v>
                </c:pt>
                <c:pt idx="29">
                  <c:v>118</c:v>
                </c:pt>
                <c:pt idx="30">
                  <c:v>185</c:v>
                </c:pt>
                <c:pt idx="31">
                  <c:v>236</c:v>
                </c:pt>
                <c:pt idx="32">
                  <c:v>255</c:v>
                </c:pt>
                <c:pt idx="33">
                  <c:v>236</c:v>
                </c:pt>
                <c:pt idx="34">
                  <c:v>185</c:v>
                </c:pt>
                <c:pt idx="35">
                  <c:v>118</c:v>
                </c:pt>
                <c:pt idx="36">
                  <c:v>56</c:v>
                </c:pt>
                <c:pt idx="37">
                  <c:v>14</c:v>
                </c:pt>
                <c:pt idx="38">
                  <c:v>1</c:v>
                </c:pt>
                <c:pt idx="39">
                  <c:v>12</c:v>
                </c:pt>
                <c:pt idx="40">
                  <c:v>36</c:v>
                </c:pt>
                <c:pt idx="41">
                  <c:v>60</c:v>
                </c:pt>
                <c:pt idx="42">
                  <c:v>72</c:v>
                </c:pt>
                <c:pt idx="43">
                  <c:v>69</c:v>
                </c:pt>
                <c:pt idx="44">
                  <c:v>56</c:v>
                </c:pt>
                <c:pt idx="45">
                  <c:v>39</c:v>
                </c:pt>
                <c:pt idx="46">
                  <c:v>28</c:v>
                </c:pt>
                <c:pt idx="47">
                  <c:v>28</c:v>
                </c:pt>
                <c:pt idx="48">
                  <c:v>37</c:v>
                </c:pt>
                <c:pt idx="49">
                  <c:v>49</c:v>
                </c:pt>
                <c:pt idx="50">
                  <c:v>58</c:v>
                </c:pt>
                <c:pt idx="51">
                  <c:v>61</c:v>
                </c:pt>
                <c:pt idx="52">
                  <c:v>55</c:v>
                </c:pt>
                <c:pt idx="53">
                  <c:v>45</c:v>
                </c:pt>
                <c:pt idx="54">
                  <c:v>37</c:v>
                </c:pt>
                <c:pt idx="55">
                  <c:v>34</c:v>
                </c:pt>
                <c:pt idx="56">
                  <c:v>37</c:v>
                </c:pt>
                <c:pt idx="57">
                  <c:v>45</c:v>
                </c:pt>
                <c:pt idx="58">
                  <c:v>52</c:v>
                </c:pt>
                <c:pt idx="59">
                  <c:v>56</c:v>
                </c:pt>
                <c:pt idx="60">
                  <c:v>54</c:v>
                </c:pt>
                <c:pt idx="61">
                  <c:v>48</c:v>
                </c:pt>
                <c:pt idx="62">
                  <c:v>41</c:v>
                </c:pt>
                <c:pt idx="63">
                  <c:v>37</c:v>
                </c:pt>
                <c:pt idx="64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76-465D-B8B8-BF680071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348424"/>
        <c:axId val="444764679"/>
      </c:scatterChart>
      <c:valAx>
        <c:axId val="102034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64679"/>
        <c:crosses val="autoZero"/>
        <c:crossBetween val="midCat"/>
      </c:valAx>
      <c:valAx>
        <c:axId val="444764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48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4</xdr:row>
      <xdr:rowOff>9525</xdr:rowOff>
    </xdr:from>
    <xdr:to>
      <xdr:col>23</xdr:col>
      <xdr:colOff>114300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B8077-F515-BF6F-9D34-83C7038B3DE1}"/>
            </a:ext>
            <a:ext uri="{147F2762-F138-4A5C-976F-8EAC2B608ADB}">
              <a16:predDERef xmlns:a16="http://schemas.microsoft.com/office/drawing/2014/main" pred="{06588D95-78BF-C331-605F-6881DF68F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4</xdr:row>
      <xdr:rowOff>19050</xdr:rowOff>
    </xdr:from>
    <xdr:to>
      <xdr:col>14</xdr:col>
      <xdr:colOff>276225</xdr:colOff>
      <xdr:row>18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0549A-62F1-E6A9-6BD0-225C04853BCB}"/>
            </a:ext>
            <a:ext uri="{147F2762-F138-4A5C-976F-8EAC2B608ADB}">
              <a16:predDERef xmlns:a16="http://schemas.microsoft.com/office/drawing/2014/main" pred="{28DB8077-F515-BF6F-9D34-83C7038B3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0"/>
  <sheetViews>
    <sheetView tabSelected="1" topLeftCell="J1" workbookViewId="0">
      <selection activeCell="C73" sqref="C73"/>
    </sheetView>
  </sheetViews>
  <sheetFormatPr defaultRowHeight="15"/>
  <cols>
    <col min="1" max="16384" width="9.140625" style="1"/>
  </cols>
  <sheetData>
    <row r="2" spans="1:6">
      <c r="B2" t="s">
        <v>0</v>
      </c>
      <c r="C2" t="s">
        <v>1</v>
      </c>
      <c r="D2" t="s">
        <v>2</v>
      </c>
      <c r="E2"/>
    </row>
    <row r="3" spans="1:6">
      <c r="B3" s="3">
        <v>64</v>
      </c>
      <c r="C3" s="3">
        <f>ROUNDDOWN(B$3/2, 0)</f>
        <v>32</v>
      </c>
      <c r="D3">
        <v>256</v>
      </c>
      <c r="E3"/>
    </row>
    <row r="5" spans="1:6">
      <c r="A5" s="1" t="s">
        <v>3</v>
      </c>
      <c r="B5" t="s">
        <v>4</v>
      </c>
      <c r="C5" t="s">
        <v>5</v>
      </c>
      <c r="D5" t="s">
        <v>6</v>
      </c>
      <c r="E5" s="1" t="s">
        <v>7</v>
      </c>
      <c r="F5" s="1" t="s">
        <v>8</v>
      </c>
    </row>
    <row r="6" spans="1:6">
      <c r="A6" s="2">
        <v>0</v>
      </c>
      <c r="B6" s="4">
        <f>($A6 - $C$3) * 0.75</f>
        <v>-24</v>
      </c>
      <c r="C6">
        <f>ROUND( 255 * ((0.22 + (SIN($B6) / $B6) ) / 1.22),0)</f>
        <v>38</v>
      </c>
      <c r="D6">
        <f>SIN($A6 - $C$3) / ($A6- $C$3)</f>
        <v>1.7232083788802831E-2</v>
      </c>
      <c r="E6" s="1">
        <f>ROUND(256*(D6+0.2)/1.2-1,0)</f>
        <v>45</v>
      </c>
    </row>
    <row r="7" spans="1:6">
      <c r="A7" s="2">
        <v>1</v>
      </c>
      <c r="B7" s="4">
        <f t="shared" ref="B7:B70" si="0">($A7 - $C$3) * 0.75</f>
        <v>-23.25</v>
      </c>
      <c r="C7">
        <f t="shared" ref="C7:C70" si="1">ROUND( 255 * ((0.22 + (SIN($B7) / $B7) ) / 1.22),0)</f>
        <v>37</v>
      </c>
      <c r="D7">
        <f>SIN($A7 - $C$3) / ($A7- $C$3)</f>
        <v>-1.3033472429776292E-2</v>
      </c>
      <c r="E7" s="1">
        <f t="shared" ref="E7:E70" si="2">ROUND(256*(D7+0.2)/1.2-1,0)</f>
        <v>39</v>
      </c>
    </row>
    <row r="8" spans="1:6">
      <c r="A8" s="2">
        <v>2</v>
      </c>
      <c r="B8" s="4">
        <f t="shared" si="0"/>
        <v>-22.5</v>
      </c>
      <c r="C8">
        <f t="shared" si="1"/>
        <v>41</v>
      </c>
      <c r="D8">
        <f t="shared" ref="D8:D70" si="3">SIN($A8 - $C$3) / ($A8- $C$3)</f>
        <v>-3.2934387469762058E-2</v>
      </c>
      <c r="E8" s="1">
        <f t="shared" si="2"/>
        <v>35</v>
      </c>
    </row>
    <row r="9" spans="1:6">
      <c r="A9" s="2">
        <v>3</v>
      </c>
      <c r="B9" s="4">
        <f t="shared" si="0"/>
        <v>-21.75</v>
      </c>
      <c r="C9">
        <f t="shared" si="1"/>
        <v>48</v>
      </c>
      <c r="D9">
        <f t="shared" si="3"/>
        <v>-2.2883927041826468E-2</v>
      </c>
      <c r="E9" s="1">
        <f t="shared" si="2"/>
        <v>37</v>
      </c>
    </row>
    <row r="10" spans="1:6">
      <c r="A10" s="2">
        <v>4</v>
      </c>
      <c r="B10" s="4">
        <f t="shared" si="0"/>
        <v>-21</v>
      </c>
      <c r="C10">
        <f t="shared" si="1"/>
        <v>54</v>
      </c>
      <c r="D10">
        <f t="shared" si="3"/>
        <v>9.675206725281037E-3</v>
      </c>
      <c r="E10" s="1">
        <f t="shared" si="2"/>
        <v>44</v>
      </c>
    </row>
    <row r="11" spans="1:6">
      <c r="A11" s="2">
        <v>5</v>
      </c>
      <c r="B11" s="4">
        <f t="shared" si="0"/>
        <v>-20.25</v>
      </c>
      <c r="C11">
        <f t="shared" si="1"/>
        <v>56</v>
      </c>
      <c r="D11">
        <f t="shared" si="3"/>
        <v>3.542133068164826E-2</v>
      </c>
      <c r="E11" s="1">
        <f t="shared" si="2"/>
        <v>49</v>
      </c>
    </row>
    <row r="12" spans="1:6">
      <c r="A12" s="2">
        <v>6</v>
      </c>
      <c r="B12" s="4">
        <f t="shared" si="0"/>
        <v>-19.5</v>
      </c>
      <c r="C12">
        <f t="shared" si="1"/>
        <v>52</v>
      </c>
      <c r="D12">
        <f t="shared" si="3"/>
        <v>2.9329171172292411E-2</v>
      </c>
      <c r="E12" s="1">
        <f t="shared" si="2"/>
        <v>48</v>
      </c>
    </row>
    <row r="13" spans="1:6">
      <c r="A13" s="2">
        <v>7</v>
      </c>
      <c r="B13" s="4">
        <f t="shared" si="0"/>
        <v>-18.75</v>
      </c>
      <c r="C13">
        <f t="shared" si="1"/>
        <v>45</v>
      </c>
      <c r="D13">
        <f t="shared" si="3"/>
        <v>-5.2940700039109216E-3</v>
      </c>
      <c r="E13" s="1">
        <f t="shared" si="2"/>
        <v>41</v>
      </c>
    </row>
    <row r="14" spans="1:6">
      <c r="A14" s="2">
        <v>8</v>
      </c>
      <c r="B14" s="4">
        <f t="shared" si="0"/>
        <v>-18</v>
      </c>
      <c r="C14">
        <f t="shared" si="1"/>
        <v>37</v>
      </c>
      <c r="D14">
        <f t="shared" si="3"/>
        <v>-3.7732431750275998E-2</v>
      </c>
      <c r="E14" s="1">
        <f t="shared" si="2"/>
        <v>34</v>
      </c>
    </row>
    <row r="15" spans="1:6">
      <c r="A15" s="2">
        <v>9</v>
      </c>
      <c r="B15" s="4">
        <f t="shared" si="0"/>
        <v>-17.25</v>
      </c>
      <c r="C15">
        <f t="shared" si="1"/>
        <v>34</v>
      </c>
      <c r="D15">
        <f t="shared" si="3"/>
        <v>-3.6792191485876986E-2</v>
      </c>
      <c r="E15" s="1">
        <f t="shared" si="2"/>
        <v>34</v>
      </c>
    </row>
    <row r="16" spans="1:6">
      <c r="A16" s="2">
        <v>10</v>
      </c>
      <c r="B16" s="4">
        <f t="shared" si="0"/>
        <v>-16.5</v>
      </c>
      <c r="C16">
        <f t="shared" si="1"/>
        <v>37</v>
      </c>
      <c r="D16">
        <f t="shared" si="3"/>
        <v>-4.0233224047290345E-4</v>
      </c>
      <c r="E16" s="1">
        <f t="shared" si="2"/>
        <v>42</v>
      </c>
    </row>
    <row r="17" spans="1:6">
      <c r="A17" s="2">
        <v>11</v>
      </c>
      <c r="B17" s="4">
        <f t="shared" si="0"/>
        <v>-15.75</v>
      </c>
      <c r="C17">
        <f t="shared" si="1"/>
        <v>45</v>
      </c>
      <c r="D17">
        <f t="shared" si="3"/>
        <v>3.9840744692193147E-2</v>
      </c>
      <c r="E17" s="1">
        <f t="shared" si="2"/>
        <v>50</v>
      </c>
      <c r="F17" s="1" t="s">
        <v>9</v>
      </c>
    </row>
    <row r="18" spans="1:6">
      <c r="A18" s="2">
        <v>12</v>
      </c>
      <c r="B18" s="4">
        <f t="shared" si="0"/>
        <v>-15</v>
      </c>
      <c r="C18">
        <f t="shared" si="1"/>
        <v>55</v>
      </c>
      <c r="D18">
        <f t="shared" si="3"/>
        <v>4.5647262536381385E-2</v>
      </c>
      <c r="E18" s="1">
        <f t="shared" si="2"/>
        <v>51</v>
      </c>
    </row>
    <row r="19" spans="1:6">
      <c r="A19" s="2">
        <v>13</v>
      </c>
      <c r="B19" s="4">
        <f t="shared" si="0"/>
        <v>-14.25</v>
      </c>
      <c r="C19">
        <f t="shared" si="1"/>
        <v>61</v>
      </c>
      <c r="D19">
        <f t="shared" si="3"/>
        <v>7.8882741927869659E-3</v>
      </c>
      <c r="E19" s="1">
        <f t="shared" si="2"/>
        <v>43</v>
      </c>
    </row>
    <row r="20" spans="1:6">
      <c r="A20" s="2">
        <v>14</v>
      </c>
      <c r="B20" s="4">
        <f t="shared" si="0"/>
        <v>-13.5</v>
      </c>
      <c r="C20">
        <f t="shared" si="1"/>
        <v>58</v>
      </c>
      <c r="D20">
        <f t="shared" si="3"/>
        <v>-4.1721513709537555E-2</v>
      </c>
      <c r="E20" s="1">
        <f t="shared" si="2"/>
        <v>33</v>
      </c>
    </row>
    <row r="21" spans="1:6">
      <c r="A21" s="2">
        <v>15</v>
      </c>
      <c r="B21" s="4">
        <f t="shared" si="0"/>
        <v>-12.75</v>
      </c>
      <c r="C21">
        <f t="shared" si="1"/>
        <v>49</v>
      </c>
      <c r="D21">
        <f t="shared" si="3"/>
        <v>-5.6552793639973932E-2</v>
      </c>
      <c r="E21" s="1">
        <f t="shared" si="2"/>
        <v>30</v>
      </c>
    </row>
    <row r="22" spans="1:6">
      <c r="A22" s="2">
        <v>16</v>
      </c>
      <c r="B22" s="4">
        <f t="shared" si="0"/>
        <v>-12</v>
      </c>
      <c r="C22">
        <f t="shared" si="1"/>
        <v>37</v>
      </c>
      <c r="D22">
        <f t="shared" si="3"/>
        <v>-1.7993957291566581E-2</v>
      </c>
      <c r="E22" s="1">
        <f t="shared" si="2"/>
        <v>38</v>
      </c>
    </row>
    <row r="23" spans="1:6">
      <c r="A23" s="2">
        <v>17</v>
      </c>
      <c r="B23" s="4">
        <f t="shared" si="0"/>
        <v>-11.25</v>
      </c>
      <c r="C23">
        <f t="shared" si="1"/>
        <v>28</v>
      </c>
      <c r="D23">
        <f t="shared" si="3"/>
        <v>4.3352522677141118E-2</v>
      </c>
      <c r="E23" s="1">
        <f t="shared" si="2"/>
        <v>51</v>
      </c>
    </row>
    <row r="24" spans="1:6">
      <c r="A24" s="2">
        <v>18</v>
      </c>
      <c r="B24" s="4">
        <f t="shared" si="0"/>
        <v>-10.5</v>
      </c>
      <c r="C24">
        <f t="shared" si="1"/>
        <v>28</v>
      </c>
      <c r="D24">
        <f t="shared" si="3"/>
        <v>7.0757668263919313E-2</v>
      </c>
      <c r="E24" s="1">
        <f t="shared" si="2"/>
        <v>57</v>
      </c>
    </row>
    <row r="25" spans="1:6">
      <c r="A25" s="2">
        <v>19</v>
      </c>
      <c r="B25" s="4">
        <f t="shared" si="0"/>
        <v>-9.75</v>
      </c>
      <c r="C25">
        <f t="shared" si="1"/>
        <v>39</v>
      </c>
      <c r="D25">
        <f t="shared" si="3"/>
        <v>3.2320541294356991E-2</v>
      </c>
      <c r="E25" s="1">
        <f t="shared" si="2"/>
        <v>49</v>
      </c>
    </row>
    <row r="26" spans="1:6">
      <c r="A26" s="2">
        <v>20</v>
      </c>
      <c r="B26" s="4">
        <f t="shared" si="0"/>
        <v>-9</v>
      </c>
      <c r="C26">
        <f t="shared" si="1"/>
        <v>56</v>
      </c>
      <c r="D26">
        <f t="shared" si="3"/>
        <v>-4.4714409833369578E-2</v>
      </c>
      <c r="E26" s="1">
        <f t="shared" si="2"/>
        <v>32</v>
      </c>
    </row>
    <row r="27" spans="1:6">
      <c r="A27" s="2">
        <v>21</v>
      </c>
      <c r="B27" s="4">
        <f t="shared" si="0"/>
        <v>-8.25</v>
      </c>
      <c r="C27">
        <f t="shared" si="1"/>
        <v>69</v>
      </c>
      <c r="D27">
        <f t="shared" si="3"/>
        <v>-9.0908200595518504E-2</v>
      </c>
      <c r="E27" s="1">
        <f t="shared" si="2"/>
        <v>22</v>
      </c>
    </row>
    <row r="28" spans="1:6">
      <c r="A28" s="2">
        <v>22</v>
      </c>
      <c r="B28" s="4">
        <f t="shared" si="0"/>
        <v>-7.5</v>
      </c>
      <c r="C28">
        <f t="shared" si="1"/>
        <v>72</v>
      </c>
      <c r="D28">
        <f t="shared" si="3"/>
        <v>-5.4402111088936979E-2</v>
      </c>
      <c r="E28" s="1">
        <f t="shared" si="2"/>
        <v>30</v>
      </c>
    </row>
    <row r="29" spans="1:6">
      <c r="A29" s="2">
        <v>23</v>
      </c>
      <c r="B29" s="4">
        <f t="shared" si="0"/>
        <v>-6.75</v>
      </c>
      <c r="C29">
        <f t="shared" si="1"/>
        <v>60</v>
      </c>
      <c r="D29">
        <f t="shared" si="3"/>
        <v>4.579094280463962E-2</v>
      </c>
      <c r="E29" s="1">
        <f t="shared" si="2"/>
        <v>51</v>
      </c>
    </row>
    <row r="30" spans="1:6">
      <c r="A30" s="2">
        <v>24</v>
      </c>
      <c r="B30" s="4">
        <f t="shared" si="0"/>
        <v>-6</v>
      </c>
      <c r="C30">
        <f t="shared" si="1"/>
        <v>36</v>
      </c>
      <c r="D30">
        <f t="shared" si="3"/>
        <v>0.12366978082792272</v>
      </c>
      <c r="E30" s="1">
        <f t="shared" si="2"/>
        <v>68</v>
      </c>
    </row>
    <row r="31" spans="1:6">
      <c r="A31" s="2">
        <v>25</v>
      </c>
      <c r="B31" s="4">
        <f t="shared" si="0"/>
        <v>-5.25</v>
      </c>
      <c r="C31">
        <f t="shared" si="1"/>
        <v>12</v>
      </c>
      <c r="D31">
        <f t="shared" si="3"/>
        <v>9.3855228388398437E-2</v>
      </c>
      <c r="E31" s="1">
        <f t="shared" si="2"/>
        <v>62</v>
      </c>
    </row>
    <row r="32" spans="1:6">
      <c r="A32" s="2">
        <v>26</v>
      </c>
      <c r="B32" s="4">
        <f t="shared" si="0"/>
        <v>-4.5</v>
      </c>
      <c r="C32">
        <f t="shared" si="1"/>
        <v>1</v>
      </c>
      <c r="D32">
        <f t="shared" si="3"/>
        <v>-4.6569249699820979E-2</v>
      </c>
      <c r="E32" s="1">
        <f t="shared" si="2"/>
        <v>32</v>
      </c>
    </row>
    <row r="33" spans="1:5">
      <c r="A33" s="2">
        <v>27</v>
      </c>
      <c r="B33" s="4">
        <f t="shared" si="0"/>
        <v>-3.75</v>
      </c>
      <c r="C33">
        <f t="shared" si="1"/>
        <v>14</v>
      </c>
      <c r="D33">
        <f t="shared" si="3"/>
        <v>-0.1917848549326277</v>
      </c>
      <c r="E33" s="1">
        <f t="shared" si="2"/>
        <v>1</v>
      </c>
    </row>
    <row r="34" spans="1:5">
      <c r="A34" s="2">
        <v>28</v>
      </c>
      <c r="B34" s="4">
        <f t="shared" si="0"/>
        <v>-3</v>
      </c>
      <c r="C34">
        <f t="shared" si="1"/>
        <v>56</v>
      </c>
      <c r="D34">
        <f t="shared" si="3"/>
        <v>-0.18920062382698205</v>
      </c>
      <c r="E34" s="1">
        <f t="shared" si="2"/>
        <v>1</v>
      </c>
    </row>
    <row r="35" spans="1:5">
      <c r="A35" s="2">
        <v>29</v>
      </c>
      <c r="B35" s="4">
        <f t="shared" si="0"/>
        <v>-2.25</v>
      </c>
      <c r="C35">
        <f t="shared" si="1"/>
        <v>118</v>
      </c>
      <c r="D35">
        <f t="shared" si="3"/>
        <v>4.7040002686622402E-2</v>
      </c>
      <c r="E35" s="1">
        <f t="shared" si="2"/>
        <v>52</v>
      </c>
    </row>
    <row r="36" spans="1:5">
      <c r="A36" s="2">
        <v>30</v>
      </c>
      <c r="B36" s="4">
        <f t="shared" si="0"/>
        <v>-1.5</v>
      </c>
      <c r="C36">
        <f t="shared" si="1"/>
        <v>185</v>
      </c>
      <c r="D36">
        <f t="shared" si="3"/>
        <v>0.45464871341284085</v>
      </c>
      <c r="E36" s="1">
        <f t="shared" si="2"/>
        <v>139</v>
      </c>
    </row>
    <row r="37" spans="1:5">
      <c r="A37" s="2">
        <v>31</v>
      </c>
      <c r="B37" s="4">
        <f t="shared" si="0"/>
        <v>-0.75</v>
      </c>
      <c r="C37">
        <f t="shared" si="1"/>
        <v>236</v>
      </c>
      <c r="D37">
        <f t="shared" si="3"/>
        <v>0.8414709848078965</v>
      </c>
      <c r="E37" s="1">
        <f t="shared" si="2"/>
        <v>221</v>
      </c>
    </row>
    <row r="38" spans="1:5" s="6" customFormat="1">
      <c r="A38" s="5">
        <v>32</v>
      </c>
      <c r="B38" s="4">
        <f t="shared" si="0"/>
        <v>0</v>
      </c>
      <c r="C38">
        <f>ROUND(255 * ((0.22 + 1) / 1.22),0)</f>
        <v>255</v>
      </c>
      <c r="D38" s="6">
        <v>1</v>
      </c>
      <c r="E38" s="1">
        <f t="shared" si="2"/>
        <v>255</v>
      </c>
    </row>
    <row r="39" spans="1:5">
      <c r="A39" s="2">
        <v>33</v>
      </c>
      <c r="B39" s="4">
        <f t="shared" si="0"/>
        <v>0.75</v>
      </c>
      <c r="C39">
        <f t="shared" si="1"/>
        <v>236</v>
      </c>
      <c r="D39">
        <f t="shared" si="3"/>
        <v>0.8414709848078965</v>
      </c>
      <c r="E39" s="1">
        <f t="shared" si="2"/>
        <v>221</v>
      </c>
    </row>
    <row r="40" spans="1:5">
      <c r="A40" s="2">
        <v>34</v>
      </c>
      <c r="B40" s="4">
        <f t="shared" si="0"/>
        <v>1.5</v>
      </c>
      <c r="C40">
        <f t="shared" si="1"/>
        <v>185</v>
      </c>
      <c r="D40">
        <f t="shared" si="3"/>
        <v>0.45464871341284085</v>
      </c>
      <c r="E40" s="1">
        <f t="shared" si="2"/>
        <v>139</v>
      </c>
    </row>
    <row r="41" spans="1:5">
      <c r="A41" s="2">
        <v>35</v>
      </c>
      <c r="B41" s="4">
        <f t="shared" si="0"/>
        <v>2.25</v>
      </c>
      <c r="C41">
        <f t="shared" si="1"/>
        <v>118</v>
      </c>
      <c r="D41">
        <f t="shared" si="3"/>
        <v>4.7040002686622402E-2</v>
      </c>
      <c r="E41" s="1">
        <f t="shared" si="2"/>
        <v>52</v>
      </c>
    </row>
    <row r="42" spans="1:5">
      <c r="A42" s="2">
        <v>36</v>
      </c>
      <c r="B42" s="4">
        <f t="shared" si="0"/>
        <v>3</v>
      </c>
      <c r="C42">
        <f t="shared" si="1"/>
        <v>56</v>
      </c>
      <c r="D42">
        <f t="shared" si="3"/>
        <v>-0.18920062382698205</v>
      </c>
      <c r="E42" s="1">
        <f t="shared" si="2"/>
        <v>1</v>
      </c>
    </row>
    <row r="43" spans="1:5">
      <c r="A43" s="2">
        <v>37</v>
      </c>
      <c r="B43" s="4">
        <f t="shared" si="0"/>
        <v>3.75</v>
      </c>
      <c r="C43">
        <f t="shared" si="1"/>
        <v>14</v>
      </c>
      <c r="D43">
        <f t="shared" si="3"/>
        <v>-0.1917848549326277</v>
      </c>
      <c r="E43" s="1">
        <f t="shared" si="2"/>
        <v>1</v>
      </c>
    </row>
    <row r="44" spans="1:5">
      <c r="A44" s="2">
        <v>38</v>
      </c>
      <c r="B44" s="4">
        <f t="shared" si="0"/>
        <v>4.5</v>
      </c>
      <c r="C44">
        <f t="shared" si="1"/>
        <v>1</v>
      </c>
      <c r="D44">
        <f t="shared" si="3"/>
        <v>-4.6569249699820979E-2</v>
      </c>
      <c r="E44" s="1">
        <f t="shared" si="2"/>
        <v>32</v>
      </c>
    </row>
    <row r="45" spans="1:5">
      <c r="A45" s="2">
        <v>39</v>
      </c>
      <c r="B45" s="4">
        <f t="shared" si="0"/>
        <v>5.25</v>
      </c>
      <c r="C45">
        <f t="shared" si="1"/>
        <v>12</v>
      </c>
      <c r="D45">
        <f t="shared" si="3"/>
        <v>9.3855228388398437E-2</v>
      </c>
      <c r="E45" s="1">
        <f t="shared" si="2"/>
        <v>62</v>
      </c>
    </row>
    <row r="46" spans="1:5">
      <c r="A46" s="2">
        <v>40</v>
      </c>
      <c r="B46" s="4">
        <f t="shared" si="0"/>
        <v>6</v>
      </c>
      <c r="C46">
        <f t="shared" si="1"/>
        <v>36</v>
      </c>
      <c r="D46">
        <f t="shared" si="3"/>
        <v>0.12366978082792272</v>
      </c>
      <c r="E46" s="1">
        <f t="shared" si="2"/>
        <v>68</v>
      </c>
    </row>
    <row r="47" spans="1:5">
      <c r="A47" s="2">
        <v>41</v>
      </c>
      <c r="B47" s="4">
        <f t="shared" si="0"/>
        <v>6.75</v>
      </c>
      <c r="C47">
        <f t="shared" si="1"/>
        <v>60</v>
      </c>
      <c r="D47">
        <f t="shared" si="3"/>
        <v>4.579094280463962E-2</v>
      </c>
      <c r="E47" s="1">
        <f t="shared" si="2"/>
        <v>51</v>
      </c>
    </row>
    <row r="48" spans="1:5">
      <c r="A48" s="2">
        <v>42</v>
      </c>
      <c r="B48" s="4">
        <f t="shared" si="0"/>
        <v>7.5</v>
      </c>
      <c r="C48">
        <f t="shared" si="1"/>
        <v>72</v>
      </c>
      <c r="D48">
        <f t="shared" si="3"/>
        <v>-5.4402111088936979E-2</v>
      </c>
      <c r="E48" s="1">
        <f t="shared" si="2"/>
        <v>30</v>
      </c>
    </row>
    <row r="49" spans="1:5">
      <c r="A49" s="2">
        <v>43</v>
      </c>
      <c r="B49" s="4">
        <f t="shared" si="0"/>
        <v>8.25</v>
      </c>
      <c r="C49">
        <f t="shared" si="1"/>
        <v>69</v>
      </c>
      <c r="D49">
        <f t="shared" si="3"/>
        <v>-9.0908200595518504E-2</v>
      </c>
      <c r="E49" s="1">
        <f t="shared" si="2"/>
        <v>22</v>
      </c>
    </row>
    <row r="50" spans="1:5">
      <c r="A50" s="2">
        <v>44</v>
      </c>
      <c r="B50" s="4">
        <f t="shared" si="0"/>
        <v>9</v>
      </c>
      <c r="C50">
        <f t="shared" si="1"/>
        <v>56</v>
      </c>
      <c r="D50">
        <f t="shared" si="3"/>
        <v>-4.4714409833369578E-2</v>
      </c>
      <c r="E50" s="1">
        <f t="shared" si="2"/>
        <v>32</v>
      </c>
    </row>
    <row r="51" spans="1:5">
      <c r="A51" s="2">
        <v>45</v>
      </c>
      <c r="B51" s="4">
        <f t="shared" si="0"/>
        <v>9.75</v>
      </c>
      <c r="C51">
        <f t="shared" si="1"/>
        <v>39</v>
      </c>
      <c r="D51">
        <f t="shared" si="3"/>
        <v>3.2320541294356991E-2</v>
      </c>
      <c r="E51" s="1">
        <f t="shared" si="2"/>
        <v>49</v>
      </c>
    </row>
    <row r="52" spans="1:5">
      <c r="A52" s="2">
        <v>46</v>
      </c>
      <c r="B52" s="4">
        <f t="shared" si="0"/>
        <v>10.5</v>
      </c>
      <c r="C52">
        <f t="shared" si="1"/>
        <v>28</v>
      </c>
      <c r="D52">
        <f t="shared" si="3"/>
        <v>7.0757668263919313E-2</v>
      </c>
      <c r="E52" s="1">
        <f t="shared" si="2"/>
        <v>57</v>
      </c>
    </row>
    <row r="53" spans="1:5">
      <c r="A53" s="2">
        <v>47</v>
      </c>
      <c r="B53" s="4">
        <f t="shared" si="0"/>
        <v>11.25</v>
      </c>
      <c r="C53">
        <f t="shared" si="1"/>
        <v>28</v>
      </c>
      <c r="D53">
        <f t="shared" si="3"/>
        <v>4.3352522677141118E-2</v>
      </c>
      <c r="E53" s="1">
        <f t="shared" si="2"/>
        <v>51</v>
      </c>
    </row>
    <row r="54" spans="1:5">
      <c r="A54" s="2">
        <v>48</v>
      </c>
      <c r="B54" s="4">
        <f t="shared" si="0"/>
        <v>12</v>
      </c>
      <c r="C54">
        <f t="shared" si="1"/>
        <v>37</v>
      </c>
      <c r="D54">
        <f t="shared" si="3"/>
        <v>-1.7993957291566581E-2</v>
      </c>
      <c r="E54" s="1">
        <f t="shared" si="2"/>
        <v>38</v>
      </c>
    </row>
    <row r="55" spans="1:5">
      <c r="A55" s="2">
        <v>49</v>
      </c>
      <c r="B55" s="4">
        <f t="shared" si="0"/>
        <v>12.75</v>
      </c>
      <c r="C55">
        <f t="shared" si="1"/>
        <v>49</v>
      </c>
      <c r="D55">
        <f t="shared" si="3"/>
        <v>-5.6552793639973932E-2</v>
      </c>
      <c r="E55" s="1">
        <f t="shared" si="2"/>
        <v>30</v>
      </c>
    </row>
    <row r="56" spans="1:5">
      <c r="A56" s="2">
        <v>50</v>
      </c>
      <c r="B56" s="4">
        <f t="shared" si="0"/>
        <v>13.5</v>
      </c>
      <c r="C56">
        <f t="shared" si="1"/>
        <v>58</v>
      </c>
      <c r="D56">
        <f t="shared" si="3"/>
        <v>-4.1721513709537555E-2</v>
      </c>
      <c r="E56" s="1">
        <f t="shared" si="2"/>
        <v>33</v>
      </c>
    </row>
    <row r="57" spans="1:5">
      <c r="A57" s="2">
        <v>51</v>
      </c>
      <c r="B57" s="4">
        <f t="shared" si="0"/>
        <v>14.25</v>
      </c>
      <c r="C57">
        <f t="shared" si="1"/>
        <v>61</v>
      </c>
      <c r="D57">
        <f t="shared" si="3"/>
        <v>7.8882741927869659E-3</v>
      </c>
      <c r="E57" s="1">
        <f t="shared" si="2"/>
        <v>43</v>
      </c>
    </row>
    <row r="58" spans="1:5">
      <c r="A58" s="2">
        <v>52</v>
      </c>
      <c r="B58" s="4">
        <f t="shared" si="0"/>
        <v>15</v>
      </c>
      <c r="C58">
        <f t="shared" si="1"/>
        <v>55</v>
      </c>
      <c r="D58">
        <f t="shared" si="3"/>
        <v>4.5647262536381385E-2</v>
      </c>
      <c r="E58" s="1">
        <f t="shared" si="2"/>
        <v>51</v>
      </c>
    </row>
    <row r="59" spans="1:5">
      <c r="A59" s="2">
        <v>53</v>
      </c>
      <c r="B59" s="4">
        <f t="shared" si="0"/>
        <v>15.75</v>
      </c>
      <c r="C59">
        <f t="shared" si="1"/>
        <v>45</v>
      </c>
      <c r="D59">
        <f t="shared" si="3"/>
        <v>3.9840744692193147E-2</v>
      </c>
      <c r="E59" s="1">
        <f t="shared" si="2"/>
        <v>50</v>
      </c>
    </row>
    <row r="60" spans="1:5">
      <c r="A60" s="2">
        <v>54</v>
      </c>
      <c r="B60" s="4">
        <f t="shared" si="0"/>
        <v>16.5</v>
      </c>
      <c r="C60">
        <f t="shared" si="1"/>
        <v>37</v>
      </c>
      <c r="D60">
        <f t="shared" si="3"/>
        <v>-4.0233224047290345E-4</v>
      </c>
      <c r="E60" s="1">
        <f t="shared" si="2"/>
        <v>42</v>
      </c>
    </row>
    <row r="61" spans="1:5">
      <c r="A61" s="2">
        <v>55</v>
      </c>
      <c r="B61" s="4">
        <f t="shared" si="0"/>
        <v>17.25</v>
      </c>
      <c r="C61">
        <f t="shared" si="1"/>
        <v>34</v>
      </c>
      <c r="D61">
        <f t="shared" si="3"/>
        <v>-3.6792191485876986E-2</v>
      </c>
      <c r="E61" s="1">
        <f t="shared" si="2"/>
        <v>34</v>
      </c>
    </row>
    <row r="62" spans="1:5">
      <c r="A62" s="2">
        <v>56</v>
      </c>
      <c r="B62" s="4">
        <f t="shared" si="0"/>
        <v>18</v>
      </c>
      <c r="C62">
        <f t="shared" si="1"/>
        <v>37</v>
      </c>
      <c r="D62">
        <f t="shared" si="3"/>
        <v>-3.7732431750275998E-2</v>
      </c>
      <c r="E62" s="1">
        <f t="shared" si="2"/>
        <v>34</v>
      </c>
    </row>
    <row r="63" spans="1:5">
      <c r="A63" s="2">
        <v>57</v>
      </c>
      <c r="B63" s="4">
        <f t="shared" si="0"/>
        <v>18.75</v>
      </c>
      <c r="C63">
        <f t="shared" si="1"/>
        <v>45</v>
      </c>
      <c r="D63">
        <f t="shared" si="3"/>
        <v>-5.2940700039109216E-3</v>
      </c>
      <c r="E63" s="1">
        <f t="shared" si="2"/>
        <v>41</v>
      </c>
    </row>
    <row r="64" spans="1:5">
      <c r="A64" s="2">
        <v>58</v>
      </c>
      <c r="B64" s="4">
        <f t="shared" si="0"/>
        <v>19.5</v>
      </c>
      <c r="C64">
        <f t="shared" si="1"/>
        <v>52</v>
      </c>
      <c r="D64">
        <f t="shared" si="3"/>
        <v>2.9329171172292411E-2</v>
      </c>
      <c r="E64" s="1">
        <f t="shared" si="2"/>
        <v>48</v>
      </c>
    </row>
    <row r="65" spans="1:5">
      <c r="A65" s="2">
        <v>59</v>
      </c>
      <c r="B65" s="4">
        <f t="shared" si="0"/>
        <v>20.25</v>
      </c>
      <c r="C65">
        <f t="shared" si="1"/>
        <v>56</v>
      </c>
      <c r="D65">
        <f t="shared" si="3"/>
        <v>3.542133068164826E-2</v>
      </c>
      <c r="E65" s="1">
        <f t="shared" si="2"/>
        <v>49</v>
      </c>
    </row>
    <row r="66" spans="1:5">
      <c r="A66" s="2">
        <v>60</v>
      </c>
      <c r="B66" s="4">
        <f t="shared" si="0"/>
        <v>21</v>
      </c>
      <c r="C66">
        <f t="shared" si="1"/>
        <v>54</v>
      </c>
      <c r="D66">
        <f t="shared" si="3"/>
        <v>9.675206725281037E-3</v>
      </c>
      <c r="E66" s="1">
        <f t="shared" si="2"/>
        <v>44</v>
      </c>
    </row>
    <row r="67" spans="1:5">
      <c r="A67" s="2">
        <v>61</v>
      </c>
      <c r="B67" s="4">
        <f t="shared" si="0"/>
        <v>21.75</v>
      </c>
      <c r="C67">
        <f t="shared" si="1"/>
        <v>48</v>
      </c>
      <c r="D67">
        <f t="shared" si="3"/>
        <v>-2.2883927041826468E-2</v>
      </c>
      <c r="E67" s="1">
        <f t="shared" si="2"/>
        <v>37</v>
      </c>
    </row>
    <row r="68" spans="1:5">
      <c r="A68" s="2">
        <v>62</v>
      </c>
      <c r="B68" s="4">
        <f t="shared" si="0"/>
        <v>22.5</v>
      </c>
      <c r="C68">
        <f t="shared" si="1"/>
        <v>41</v>
      </c>
      <c r="D68">
        <f t="shared" si="3"/>
        <v>-3.2934387469762058E-2</v>
      </c>
      <c r="E68" s="1">
        <f t="shared" si="2"/>
        <v>35</v>
      </c>
    </row>
    <row r="69" spans="1:5">
      <c r="A69" s="2">
        <v>63</v>
      </c>
      <c r="B69" s="4">
        <f t="shared" si="0"/>
        <v>23.25</v>
      </c>
      <c r="C69">
        <f t="shared" si="1"/>
        <v>37</v>
      </c>
      <c r="D69">
        <f t="shared" si="3"/>
        <v>-1.3033472429776292E-2</v>
      </c>
      <c r="E69" s="1">
        <f t="shared" si="2"/>
        <v>39</v>
      </c>
    </row>
    <row r="70" spans="1:5">
      <c r="A70" s="2">
        <v>64</v>
      </c>
      <c r="B70" s="4">
        <f t="shared" si="0"/>
        <v>24</v>
      </c>
      <c r="C70">
        <f t="shared" si="1"/>
        <v>38</v>
      </c>
      <c r="D70">
        <f t="shared" si="3"/>
        <v>1.7232083788802831E-2</v>
      </c>
      <c r="E70" s="1">
        <f t="shared" si="2"/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Davis (Student)</cp:lastModifiedBy>
  <cp:revision/>
  <dcterms:created xsi:type="dcterms:W3CDTF">2025-11-21T18:41:38Z</dcterms:created>
  <dcterms:modified xsi:type="dcterms:W3CDTF">2026-03-06T21:54:24Z</dcterms:modified>
  <cp:category/>
  <cp:contentStatus/>
</cp:coreProperties>
</file>